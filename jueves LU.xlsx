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e98d442ae7053c/"/>
    </mc:Choice>
  </mc:AlternateContent>
  <xr:revisionPtr revIDLastSave="137" documentId="8_{2D98FD9E-ACFD-44CA-ABFD-86B6B3BBB066}" xr6:coauthVersionLast="47" xr6:coauthVersionMax="47" xr10:uidLastSave="{994C6838-1B86-4225-B906-B0D27535D113}"/>
  <bookViews>
    <workbookView xWindow="-108" yWindow="-108" windowWidth="23256" windowHeight="12456" activeTab="1" xr2:uid="{763C3AE0-A5AA-44FE-85FD-9E72A8562848}"/>
  </bookViews>
  <sheets>
    <sheet name="lu (2)" sheetId="9" r:id="rId1"/>
    <sheet name="Hoja2 (2)" sheetId="10" r:id="rId2"/>
    <sheet name="lu" sheetId="6" r:id="rId3"/>
    <sheet name="Hoj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0" l="1"/>
  <c r="E36" i="10"/>
  <c r="D36" i="10"/>
  <c r="F30" i="10"/>
  <c r="E30" i="10"/>
  <c r="D30" i="10"/>
  <c r="J26" i="10"/>
  <c r="F26" i="10" s="1"/>
  <c r="D26" i="10"/>
  <c r="J25" i="10"/>
  <c r="F25" i="10" s="1"/>
  <c r="F24" i="10"/>
  <c r="E24" i="10"/>
  <c r="D24" i="10"/>
  <c r="D25" i="2"/>
  <c r="E38" i="2"/>
  <c r="F38" i="2"/>
  <c r="D38" i="2"/>
  <c r="E37" i="2"/>
  <c r="F37" i="2"/>
  <c r="D37" i="2"/>
  <c r="E36" i="2"/>
  <c r="F36" i="2"/>
  <c r="D36" i="2"/>
  <c r="F32" i="2"/>
  <c r="E32" i="2"/>
  <c r="D32" i="2"/>
  <c r="E31" i="2"/>
  <c r="F31" i="2"/>
  <c r="D31" i="2"/>
  <c r="E30" i="2"/>
  <c r="F30" i="2"/>
  <c r="D30" i="2"/>
  <c r="K26" i="2"/>
  <c r="F26" i="2"/>
  <c r="E26" i="2"/>
  <c r="D26" i="2"/>
  <c r="F25" i="2"/>
  <c r="E25" i="2"/>
  <c r="F24" i="2"/>
  <c r="E24" i="2"/>
  <c r="D24" i="2"/>
  <c r="J26" i="2"/>
  <c r="J25" i="2"/>
  <c r="E26" i="10" l="1"/>
  <c r="F31" i="10"/>
  <c r="F37" i="10"/>
  <c r="D25" i="10"/>
  <c r="E25" i="10"/>
  <c r="I47" i="2" a="1"/>
  <c r="D37" i="10" l="1"/>
  <c r="D31" i="10"/>
  <c r="E31" i="10"/>
  <c r="E37" i="10"/>
  <c r="K26" i="10"/>
  <c r="I52" i="2" a="1"/>
  <c r="K52" i="2" s="1"/>
  <c r="I49" i="2"/>
  <c r="J49" i="2"/>
  <c r="K48" i="2"/>
  <c r="J48" i="2"/>
  <c r="K47" i="2"/>
  <c r="J47" i="2"/>
  <c r="K49" i="2"/>
  <c r="I47" i="2"/>
  <c r="I48" i="2"/>
  <c r="D42" i="2" a="1"/>
  <c r="D32" i="10" l="1"/>
  <c r="D38" i="10" s="1"/>
  <c r="F32" i="10"/>
  <c r="F38" i="10" s="1"/>
  <c r="E32" i="10"/>
  <c r="E38" i="10" s="1"/>
  <c r="D42" i="10" a="1"/>
  <c r="I47" i="10" a="1"/>
  <c r="I52" i="10" a="1"/>
  <c r="J53" i="2"/>
  <c r="K53" i="2"/>
  <c r="J54" i="2"/>
  <c r="K54" i="2"/>
  <c r="I54" i="2"/>
  <c r="I52" i="2"/>
  <c r="J52" i="2"/>
  <c r="I53" i="2"/>
  <c r="D42" i="2"/>
  <c r="F44" i="2"/>
  <c r="E44" i="2"/>
  <c r="D44" i="2"/>
  <c r="F43" i="2"/>
  <c r="E43" i="2"/>
  <c r="D43" i="2"/>
  <c r="F42" i="2"/>
  <c r="E42" i="2"/>
  <c r="D48" i="2" a="1"/>
  <c r="I54" i="10" l="1"/>
  <c r="K53" i="10"/>
  <c r="K52" i="10"/>
  <c r="J52" i="10"/>
  <c r="I52" i="10"/>
  <c r="K54" i="10"/>
  <c r="J54" i="10"/>
  <c r="J53" i="10"/>
  <c r="I53" i="10"/>
  <c r="E44" i="10"/>
  <c r="D44" i="10"/>
  <c r="F43" i="10"/>
  <c r="E43" i="10"/>
  <c r="D43" i="10"/>
  <c r="F42" i="10"/>
  <c r="E42" i="10"/>
  <c r="D42" i="10"/>
  <c r="F44" i="10"/>
  <c r="I47" i="10"/>
  <c r="K49" i="10"/>
  <c r="J49" i="10"/>
  <c r="I49" i="10"/>
  <c r="K48" i="10"/>
  <c r="J48" i="10"/>
  <c r="I48" i="10"/>
  <c r="K47" i="10"/>
  <c r="J47" i="10"/>
  <c r="D48" i="2"/>
  <c r="D49" i="2"/>
  <c r="D50" i="2"/>
  <c r="D48" i="10" l="1" a="1"/>
  <c r="D52" i="2" a="1"/>
  <c r="D54" i="2" s="1"/>
  <c r="D50" i="10" l="1"/>
  <c r="D49" i="10"/>
  <c r="D48" i="10"/>
  <c r="D52" i="10" s="1" a="1"/>
  <c r="D53" i="2"/>
  <c r="D52" i="2"/>
  <c r="D54" i="10" l="1"/>
  <c r="D53" i="10"/>
  <c r="D52" i="10"/>
</calcChain>
</file>

<file path=xl/sharedStrings.xml><?xml version="1.0" encoding="utf-8"?>
<sst xmlns="http://schemas.openxmlformats.org/spreadsheetml/2006/main" count="82" uniqueCount="52">
  <si>
    <t>a =</t>
  </si>
  <si>
    <t>b =</t>
  </si>
  <si>
    <t>&gt;&gt; x=inv(a)*b</t>
  </si>
  <si>
    <t>x =</t>
  </si>
  <si>
    <t>&gt;&gt;</t>
  </si>
  <si>
    <t>&gt;&gt; [l,u]= lu(a)</t>
  </si>
  <si>
    <t xml:space="preserve">   1.0000        0        0</t>
  </si>
  <si>
    <t>a= u0</t>
  </si>
  <si>
    <t>u1=</t>
  </si>
  <si>
    <t>-f21 *a1i + a2i</t>
  </si>
  <si>
    <t>f21</t>
  </si>
  <si>
    <t>f31</t>
  </si>
  <si>
    <t>f32</t>
  </si>
  <si>
    <t>L0</t>
  </si>
  <si>
    <t>u2</t>
  </si>
  <si>
    <t>u3</t>
  </si>
  <si>
    <t>a= l* u</t>
  </si>
  <si>
    <t xml:space="preserve">L d =b </t>
  </si>
  <si>
    <t>inv(L)</t>
  </si>
  <si>
    <t>inv(U)</t>
  </si>
  <si>
    <t>U x = d</t>
  </si>
  <si>
    <t>inv(L) * b</t>
  </si>
  <si>
    <t>inv(u) *d</t>
  </si>
  <si>
    <t>a = [10 2 -1; -3 -6 2; 1 1 5]</t>
  </si>
  <si>
    <t>&gt;&gt; b = [27; -61.5; -21.5]]</t>
  </si>
  <si>
    <t>A = [10 2 -1; -3 -6 2; 1 1 5]</t>
  </si>
  <si>
    <t xml:space="preserve">  10    2   -1</t>
  </si>
  <si>
    <t xml:space="preserve">   -3   -6    2</t>
  </si>
  <si>
    <t xml:space="preserve">    1    1    5</t>
  </si>
  <si>
    <t>&gt;&gt; b = [27; -61.5; -21.5]</t>
  </si>
  <si>
    <t xml:space="preserve"> 0.5000</t>
  </si>
  <si>
    <t>L =</t>
  </si>
  <si>
    <t xml:space="preserve">  -0.3000   1.0000        0</t>
  </si>
  <si>
    <t xml:space="preserve">   0.1000  -0.1481   1.0000</t>
  </si>
  <si>
    <t>U =</t>
  </si>
  <si>
    <t xml:space="preserve">   10.0000    2.0000   -1.0000</t>
  </si>
  <si>
    <t xml:space="preserve">         0   -5.4000    1.7000</t>
  </si>
  <si>
    <t xml:space="preserve">         0         0    5.3519</t>
  </si>
  <si>
    <t xml:space="preserve"> A = [8 4 1; 2 5 4; 2 -1 6]</t>
  </si>
  <si>
    <t>A =</t>
  </si>
  <si>
    <t xml:space="preserve">   8   4   1</t>
  </si>
  <si>
    <t xml:space="preserve">   2   5   4</t>
  </si>
  <si>
    <t xml:space="preserve">   2  -1   6</t>
  </si>
  <si>
    <t>&gt;&gt; b = [11; 4; 7]</t>
  </si>
  <si>
    <t xml:space="preserve">                                                                                     </t>
  </si>
  <si>
    <t xml:space="preserve">  -0.2869</t>
  </si>
  <si>
    <t xml:space="preserve">   0.6393</t>
  </si>
  <si>
    <t xml:space="preserve">   0.2500   1.0000        0</t>
  </si>
  <si>
    <t xml:space="preserve">   0.2500  -0.5000   1.0000</t>
  </si>
  <si>
    <t xml:space="preserve">   8.0000   4.0000   1.0000</t>
  </si>
  <si>
    <t xml:space="preserve">        0   4.0000   3.7500</t>
  </si>
  <si>
    <t xml:space="preserve">        0        0   7.6250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</si>
</sst>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quotePrefix="1"/>
    <xf numFmtId="0" fontId="0" fillId="4" borderId="0" xfId="0" applyFill="1"/>
    <xf numFmtId="4" fontId="0" fillId="0" borderId="0" xfId="0" applyNumberFormat="1"/>
    <xf numFmtId="0" fontId="0" fillId="5" borderId="0" xfId="0" applyFill="1"/>
    <xf numFmtId="3" fontId="0" fillId="5" borderId="0" xfId="0" applyNumberFormat="1" applyFill="1"/>
    <xf numFmtId="164" fontId="0" fillId="5" borderId="0" xfId="0" applyNumberFormat="1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181608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F8FD6CE-ADC8-4B47-A2F5-B7AC76328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0063" y="4349115"/>
          <a:ext cx="1055991" cy="40449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574E37-6338-49D4-B5B4-AEBFA0620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0283" y="5304336"/>
          <a:ext cx="1163390" cy="1493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181608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26A3F7-3D77-45F8-907A-48DEFA83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3CDB8-87F9-DCAA-D839-51168E546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0C6A-CFFB-4120-B9B0-CBF67A982B85}">
  <dimension ref="C3:H24"/>
  <sheetViews>
    <sheetView workbookViewId="0">
      <selection activeCell="C10" sqref="C10"/>
    </sheetView>
  </sheetViews>
  <sheetFormatPr baseColWidth="10" defaultRowHeight="14.4" x14ac:dyDescent="0.3"/>
  <sheetData>
    <row r="3" spans="3:8" x14ac:dyDescent="0.3">
      <c r="C3" t="s">
        <v>38</v>
      </c>
      <c r="H3" t="s">
        <v>5</v>
      </c>
    </row>
    <row r="4" spans="3:8" x14ac:dyDescent="0.3">
      <c r="C4" t="s">
        <v>39</v>
      </c>
      <c r="H4" t="s">
        <v>31</v>
      </c>
    </row>
    <row r="6" spans="3:8" x14ac:dyDescent="0.3">
      <c r="C6" t="s">
        <v>40</v>
      </c>
      <c r="H6" t="s">
        <v>6</v>
      </c>
    </row>
    <row r="7" spans="3:8" x14ac:dyDescent="0.3">
      <c r="C7" t="s">
        <v>41</v>
      </c>
      <c r="H7" t="s">
        <v>47</v>
      </c>
    </row>
    <row r="8" spans="3:8" x14ac:dyDescent="0.3">
      <c r="C8" t="s">
        <v>42</v>
      </c>
      <c r="H8" t="s">
        <v>48</v>
      </c>
    </row>
    <row r="10" spans="3:8" x14ac:dyDescent="0.3">
      <c r="C10" t="s">
        <v>43</v>
      </c>
      <c r="H10" t="s">
        <v>34</v>
      </c>
    </row>
    <row r="11" spans="3:8" x14ac:dyDescent="0.3">
      <c r="C11" t="s">
        <v>1</v>
      </c>
    </row>
    <row r="12" spans="3:8" x14ac:dyDescent="0.3">
      <c r="C12" t="s">
        <v>44</v>
      </c>
      <c r="H12" t="s">
        <v>49</v>
      </c>
    </row>
    <row r="13" spans="3:8" x14ac:dyDescent="0.3">
      <c r="C13" s="1">
        <v>11</v>
      </c>
      <c r="H13" t="s">
        <v>50</v>
      </c>
    </row>
    <row r="14" spans="3:8" x14ac:dyDescent="0.3">
      <c r="C14" s="1">
        <v>4</v>
      </c>
      <c r="H14" t="s">
        <v>51</v>
      </c>
    </row>
    <row r="15" spans="3:8" x14ac:dyDescent="0.3">
      <c r="C15" s="1">
        <v>7</v>
      </c>
    </row>
    <row r="17" spans="3:3" x14ac:dyDescent="0.3">
      <c r="C17" t="s">
        <v>2</v>
      </c>
    </row>
    <row r="18" spans="3:3" x14ac:dyDescent="0.3">
      <c r="C18" t="s">
        <v>3</v>
      </c>
    </row>
    <row r="20" spans="3:3" x14ac:dyDescent="0.3">
      <c r="C20" s="1">
        <v>14385</v>
      </c>
    </row>
    <row r="21" spans="3:3" x14ac:dyDescent="0.3">
      <c r="C21" s="1" t="s">
        <v>45</v>
      </c>
    </row>
    <row r="22" spans="3:3" x14ac:dyDescent="0.3">
      <c r="C22" s="1" t="s">
        <v>46</v>
      </c>
    </row>
    <row r="24" spans="3:3" x14ac:dyDescent="0.3">
      <c r="C2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D7A7-370D-4DED-95E3-794B10F84CF4}">
  <dimension ref="B4:L54"/>
  <sheetViews>
    <sheetView tabSelected="1" topLeftCell="D15" zoomScale="140" zoomScaleNormal="140" workbookViewId="0">
      <selection activeCell="G18" sqref="G18"/>
    </sheetView>
  </sheetViews>
  <sheetFormatPr baseColWidth="10" defaultRowHeight="14.4" x14ac:dyDescent="0.3"/>
  <cols>
    <col min="10" max="12" width="7.6640625" customWidth="1"/>
  </cols>
  <sheetData>
    <row r="4" spans="4:6" x14ac:dyDescent="0.3">
      <c r="D4" t="s">
        <v>38</v>
      </c>
    </row>
    <row r="5" spans="4:6" x14ac:dyDescent="0.3">
      <c r="D5" t="s">
        <v>0</v>
      </c>
    </row>
    <row r="7" spans="4:6" x14ac:dyDescent="0.3">
      <c r="D7" s="11">
        <v>8</v>
      </c>
      <c r="E7" s="10">
        <v>4</v>
      </c>
      <c r="F7" s="10">
        <v>1</v>
      </c>
    </row>
    <row r="8" spans="4:6" x14ac:dyDescent="0.3">
      <c r="D8" s="12">
        <v>2</v>
      </c>
      <c r="E8" s="10">
        <v>5</v>
      </c>
      <c r="F8" s="10">
        <v>4</v>
      </c>
    </row>
    <row r="9" spans="4:6" x14ac:dyDescent="0.3">
      <c r="D9" s="10">
        <v>2</v>
      </c>
      <c r="E9" s="10">
        <v>-1</v>
      </c>
      <c r="F9" s="10">
        <v>6</v>
      </c>
    </row>
    <row r="11" spans="4:6" x14ac:dyDescent="0.3">
      <c r="D11" t="s">
        <v>43</v>
      </c>
    </row>
    <row r="12" spans="4:6" x14ac:dyDescent="0.3">
      <c r="D12" t="s">
        <v>1</v>
      </c>
    </row>
    <row r="14" spans="4:6" x14ac:dyDescent="0.3">
      <c r="D14" s="9">
        <v>11</v>
      </c>
    </row>
    <row r="15" spans="4:6" x14ac:dyDescent="0.3">
      <c r="D15" s="9">
        <v>4</v>
      </c>
    </row>
    <row r="16" spans="4:6" x14ac:dyDescent="0.3">
      <c r="D16" s="9">
        <v>7</v>
      </c>
    </row>
    <row r="19" spans="2:12" x14ac:dyDescent="0.3">
      <c r="D19" s="2">
        <v>8</v>
      </c>
      <c r="E19" s="3">
        <v>4</v>
      </c>
      <c r="F19" s="3">
        <v>1</v>
      </c>
    </row>
    <row r="20" spans="2:12" x14ac:dyDescent="0.3">
      <c r="B20" t="s">
        <v>7</v>
      </c>
      <c r="D20" s="4">
        <v>2</v>
      </c>
      <c r="E20" s="3">
        <v>5</v>
      </c>
      <c r="F20" s="3">
        <v>4</v>
      </c>
      <c r="J20" s="7" t="s">
        <v>9</v>
      </c>
    </row>
    <row r="21" spans="2:12" x14ac:dyDescent="0.3">
      <c r="D21" s="3">
        <v>2</v>
      </c>
      <c r="E21" s="3">
        <v>-1</v>
      </c>
      <c r="F21" s="3">
        <v>6</v>
      </c>
    </row>
    <row r="24" spans="2:12" x14ac:dyDescent="0.3">
      <c r="B24" t="s">
        <v>8</v>
      </c>
      <c r="D24" s="13">
        <f>D19</f>
        <v>8</v>
      </c>
      <c r="E24" s="6">
        <f>E19</f>
        <v>4</v>
      </c>
      <c r="F24" s="6">
        <f>F19</f>
        <v>1</v>
      </c>
      <c r="I24" s="5" t="s">
        <v>13</v>
      </c>
      <c r="J24" s="6">
        <v>1</v>
      </c>
      <c r="K24" s="6">
        <v>0</v>
      </c>
      <c r="L24" s="6">
        <v>0</v>
      </c>
    </row>
    <row r="25" spans="2:12" x14ac:dyDescent="0.3">
      <c r="D25" s="6">
        <f>D20 + (-J25)*D19</f>
        <v>0</v>
      </c>
      <c r="E25" s="6">
        <f>E20 + (-J25)*E19</f>
        <v>4</v>
      </c>
      <c r="F25" s="6">
        <f>F20 + (-J25)*F19</f>
        <v>3.75</v>
      </c>
      <c r="J25" s="6">
        <f>+D20/D19</f>
        <v>0.25</v>
      </c>
      <c r="K25" s="6">
        <v>1</v>
      </c>
      <c r="L25" s="6">
        <v>0</v>
      </c>
    </row>
    <row r="26" spans="2:12" x14ac:dyDescent="0.3">
      <c r="D26" s="6">
        <f>D21 + (-J26)*D19</f>
        <v>0</v>
      </c>
      <c r="E26" s="6">
        <f>E21 + (-J26)*E19</f>
        <v>-2</v>
      </c>
      <c r="F26" s="6">
        <f>F21 + (-J26)*F19</f>
        <v>5.75</v>
      </c>
      <c r="J26" s="6">
        <f>+D21/D19</f>
        <v>0.25</v>
      </c>
      <c r="K26" s="6">
        <f>E26/E25</f>
        <v>-0.5</v>
      </c>
      <c r="L26" s="6">
        <v>1</v>
      </c>
    </row>
    <row r="28" spans="2:12" x14ac:dyDescent="0.3">
      <c r="J28" s="8">
        <v>1</v>
      </c>
      <c r="K28" s="8">
        <v>0</v>
      </c>
      <c r="L28" s="8">
        <v>0</v>
      </c>
    </row>
    <row r="29" spans="2:12" x14ac:dyDescent="0.3">
      <c r="J29" s="8" t="s">
        <v>10</v>
      </c>
      <c r="K29" s="8">
        <v>1</v>
      </c>
      <c r="L29" s="8">
        <v>0</v>
      </c>
    </row>
    <row r="30" spans="2:12" x14ac:dyDescent="0.3">
      <c r="D30" s="13">
        <f>D19</f>
        <v>8</v>
      </c>
      <c r="E30" s="13">
        <f t="shared" ref="E30:F30" si="0">E19</f>
        <v>4</v>
      </c>
      <c r="F30" s="13">
        <f t="shared" si="0"/>
        <v>1</v>
      </c>
      <c r="J30" s="8" t="s">
        <v>11</v>
      </c>
      <c r="K30" s="8" t="s">
        <v>12</v>
      </c>
      <c r="L30" s="8">
        <v>1</v>
      </c>
    </row>
    <row r="31" spans="2:12" x14ac:dyDescent="0.3">
      <c r="B31" t="s">
        <v>14</v>
      </c>
      <c r="D31" s="6">
        <f>D25</f>
        <v>0</v>
      </c>
      <c r="E31" s="6">
        <f t="shared" ref="E31:F31" si="1">E25</f>
        <v>4</v>
      </c>
      <c r="F31" s="6">
        <f t="shared" si="1"/>
        <v>3.75</v>
      </c>
    </row>
    <row r="32" spans="2:12" x14ac:dyDescent="0.3">
      <c r="D32" s="6">
        <f>D26 + (-K26)*D25</f>
        <v>0</v>
      </c>
      <c r="E32" s="6">
        <f>E26 + (-K26)*E25</f>
        <v>0</v>
      </c>
      <c r="F32" s="6">
        <f>F26 + (-K26)*F25</f>
        <v>7.625</v>
      </c>
    </row>
    <row r="36" spans="2:11" x14ac:dyDescent="0.3">
      <c r="B36" t="s">
        <v>15</v>
      </c>
      <c r="D36" s="13">
        <f>D19</f>
        <v>8</v>
      </c>
      <c r="E36" s="13">
        <f t="shared" ref="E36:F36" si="2">E19</f>
        <v>4</v>
      </c>
      <c r="F36" s="13">
        <f t="shared" si="2"/>
        <v>1</v>
      </c>
    </row>
    <row r="37" spans="2:11" x14ac:dyDescent="0.3">
      <c r="D37" s="6">
        <f>D25</f>
        <v>0</v>
      </c>
      <c r="E37" s="6">
        <f t="shared" ref="E37:F37" si="3">E25</f>
        <v>4</v>
      </c>
      <c r="F37" s="6">
        <f t="shared" si="3"/>
        <v>3.75</v>
      </c>
    </row>
    <row r="38" spans="2:11" x14ac:dyDescent="0.3">
      <c r="D38" s="6">
        <f>D32</f>
        <v>0</v>
      </c>
      <c r="E38" s="6">
        <f t="shared" ref="E38:F38" si="4">E32</f>
        <v>0</v>
      </c>
      <c r="F38" s="6">
        <f t="shared" si="4"/>
        <v>7.625</v>
      </c>
    </row>
    <row r="42" spans="2:11" x14ac:dyDescent="0.3">
      <c r="B42" t="s">
        <v>16</v>
      </c>
      <c r="D42" s="6">
        <f t="array" ref="D42:F44">+MMULT(J24:L26,D36:F38)</f>
        <v>8</v>
      </c>
      <c r="E42" s="6">
        <v>4</v>
      </c>
      <c r="F42" s="6">
        <v>1</v>
      </c>
    </row>
    <row r="43" spans="2:11" x14ac:dyDescent="0.3">
      <c r="D43" s="6">
        <v>2</v>
      </c>
      <c r="E43" s="6">
        <v>5</v>
      </c>
      <c r="F43" s="6">
        <v>4</v>
      </c>
    </row>
    <row r="44" spans="2:11" x14ac:dyDescent="0.3">
      <c r="D44" s="6">
        <v>2</v>
      </c>
      <c r="E44" s="6">
        <v>-1</v>
      </c>
      <c r="F44" s="6">
        <v>6</v>
      </c>
    </row>
    <row r="47" spans="2:11" x14ac:dyDescent="0.3">
      <c r="B47" s="6"/>
      <c r="I47">
        <f t="array" ref="I47:K49">+MINVERSE(J24:L26)</f>
        <v>1</v>
      </c>
      <c r="J47">
        <v>0</v>
      </c>
      <c r="K47">
        <v>0</v>
      </c>
    </row>
    <row r="48" spans="2:11" x14ac:dyDescent="0.3">
      <c r="B48" s="6" t="s">
        <v>17</v>
      </c>
      <c r="D48">
        <f t="array" ref="D48:D50">+MMULT(I47:K49,D14:D16)</f>
        <v>11</v>
      </c>
      <c r="F48" t="s">
        <v>21</v>
      </c>
      <c r="H48" t="s">
        <v>18</v>
      </c>
      <c r="I48">
        <v>-0.25</v>
      </c>
      <c r="J48">
        <v>1</v>
      </c>
      <c r="K48">
        <v>0</v>
      </c>
    </row>
    <row r="49" spans="2:11" x14ac:dyDescent="0.3">
      <c r="B49" s="6"/>
      <c r="D49">
        <v>1.25</v>
      </c>
      <c r="I49">
        <v>-0.375</v>
      </c>
      <c r="J49">
        <v>0.5</v>
      </c>
      <c r="K49">
        <v>1</v>
      </c>
    </row>
    <row r="50" spans="2:11" x14ac:dyDescent="0.3">
      <c r="B50" s="6"/>
      <c r="D50">
        <v>4.875</v>
      </c>
    </row>
    <row r="51" spans="2:11" x14ac:dyDescent="0.3">
      <c r="B51" s="6"/>
    </row>
    <row r="52" spans="2:11" x14ac:dyDescent="0.3">
      <c r="B52" s="6" t="s">
        <v>20</v>
      </c>
      <c r="D52" s="6">
        <f t="array" ref="D52:D54">+MMULT(I52:K54,D48:D50)</f>
        <v>1.4385245901639345</v>
      </c>
      <c r="H52" t="s">
        <v>19</v>
      </c>
      <c r="I52">
        <f t="array" ref="I52:K54">+MINVERSE(D36:F38)</f>
        <v>0.125</v>
      </c>
      <c r="J52">
        <v>-0.125</v>
      </c>
      <c r="K52">
        <v>4.5081967213114763E-2</v>
      </c>
    </row>
    <row r="53" spans="2:11" x14ac:dyDescent="0.3">
      <c r="B53" s="6"/>
      <c r="D53" s="6">
        <v>-0.28688524590163944</v>
      </c>
      <c r="F53" t="s">
        <v>22</v>
      </c>
      <c r="I53">
        <v>0</v>
      </c>
      <c r="J53">
        <v>0.25</v>
      </c>
      <c r="K53">
        <v>-0.12295081967213116</v>
      </c>
    </row>
    <row r="54" spans="2:11" x14ac:dyDescent="0.3">
      <c r="B54" s="6"/>
      <c r="D54" s="6">
        <v>0.63934426229508201</v>
      </c>
      <c r="I54">
        <v>0</v>
      </c>
      <c r="J54">
        <v>0</v>
      </c>
      <c r="K54">
        <v>0.13114754098360656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88CE-066B-4223-90B6-A35A54AAA48B}">
  <dimension ref="C3:H24"/>
  <sheetViews>
    <sheetView workbookViewId="0">
      <selection activeCell="J14" sqref="J14"/>
    </sheetView>
  </sheetViews>
  <sheetFormatPr baseColWidth="10" defaultRowHeight="14.4" x14ac:dyDescent="0.3"/>
  <sheetData>
    <row r="3" spans="3:8" x14ac:dyDescent="0.3">
      <c r="C3" t="s">
        <v>25</v>
      </c>
      <c r="H3" t="s">
        <v>5</v>
      </c>
    </row>
    <row r="4" spans="3:8" x14ac:dyDescent="0.3">
      <c r="C4" t="s">
        <v>0</v>
      </c>
      <c r="H4" t="s">
        <v>31</v>
      </c>
    </row>
    <row r="6" spans="3:8" x14ac:dyDescent="0.3">
      <c r="C6" t="s">
        <v>26</v>
      </c>
      <c r="H6" t="s">
        <v>6</v>
      </c>
    </row>
    <row r="7" spans="3:8" x14ac:dyDescent="0.3">
      <c r="C7" t="s">
        <v>27</v>
      </c>
      <c r="H7" t="s">
        <v>32</v>
      </c>
    </row>
    <row r="8" spans="3:8" x14ac:dyDescent="0.3">
      <c r="C8" t="s">
        <v>28</v>
      </c>
      <c r="H8" t="s">
        <v>33</v>
      </c>
    </row>
    <row r="10" spans="3:8" x14ac:dyDescent="0.3">
      <c r="C10" t="s">
        <v>29</v>
      </c>
      <c r="H10" t="s">
        <v>34</v>
      </c>
    </row>
    <row r="11" spans="3:8" x14ac:dyDescent="0.3">
      <c r="C11" t="s">
        <v>1</v>
      </c>
    </row>
    <row r="12" spans="3:8" x14ac:dyDescent="0.3">
      <c r="H12" t="s">
        <v>35</v>
      </c>
    </row>
    <row r="13" spans="3:8" x14ac:dyDescent="0.3">
      <c r="C13" s="1">
        <v>7000</v>
      </c>
      <c r="H13" t="s">
        <v>36</v>
      </c>
    </row>
    <row r="14" spans="3:8" x14ac:dyDescent="0.3">
      <c r="C14" s="1">
        <v>-61500</v>
      </c>
      <c r="H14" t="s">
        <v>37</v>
      </c>
    </row>
    <row r="15" spans="3:8" x14ac:dyDescent="0.3">
      <c r="C15" s="1">
        <v>-21500</v>
      </c>
    </row>
    <row r="17" spans="3:3" x14ac:dyDescent="0.3">
      <c r="C17" t="s">
        <v>2</v>
      </c>
    </row>
    <row r="18" spans="3:3" x14ac:dyDescent="0.3">
      <c r="C18" t="s">
        <v>3</v>
      </c>
    </row>
    <row r="20" spans="3:3" x14ac:dyDescent="0.3">
      <c r="C20" t="s">
        <v>30</v>
      </c>
    </row>
    <row r="21" spans="3:3" x14ac:dyDescent="0.3">
      <c r="C21" s="1">
        <v>80000</v>
      </c>
    </row>
    <row r="22" spans="3:3" x14ac:dyDescent="0.3">
      <c r="C22" s="1">
        <v>-60000</v>
      </c>
    </row>
    <row r="24" spans="3:3" x14ac:dyDescent="0.3">
      <c r="C2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BB56-AF41-48A5-AF60-F07F94CD1698}">
  <dimension ref="B4:L54"/>
  <sheetViews>
    <sheetView topLeftCell="B30" zoomScale="140" zoomScaleNormal="140" workbookViewId="0">
      <selection activeCell="E38" sqref="E38"/>
    </sheetView>
  </sheetViews>
  <sheetFormatPr baseColWidth="10" defaultRowHeight="14.4" x14ac:dyDescent="0.3"/>
  <cols>
    <col min="10" max="12" width="7.6640625" customWidth="1"/>
  </cols>
  <sheetData>
    <row r="4" spans="4:6" x14ac:dyDescent="0.3">
      <c r="D4" t="s">
        <v>23</v>
      </c>
    </row>
    <row r="5" spans="4:6" x14ac:dyDescent="0.3">
      <c r="D5" t="s">
        <v>0</v>
      </c>
    </row>
    <row r="7" spans="4:6" x14ac:dyDescent="0.3">
      <c r="D7" s="11">
        <v>10</v>
      </c>
      <c r="E7" s="10">
        <v>2</v>
      </c>
      <c r="F7" s="10">
        <v>-1</v>
      </c>
    </row>
    <row r="8" spans="4:6" x14ac:dyDescent="0.3">
      <c r="D8" s="12">
        <v>-3</v>
      </c>
      <c r="E8" s="10">
        <v>-6</v>
      </c>
      <c r="F8" s="10">
        <v>2</v>
      </c>
    </row>
    <row r="9" spans="4:6" x14ac:dyDescent="0.3">
      <c r="D9" s="10">
        <v>1</v>
      </c>
      <c r="E9" s="10">
        <v>1</v>
      </c>
      <c r="F9" s="10">
        <v>5</v>
      </c>
    </row>
    <row r="11" spans="4:6" x14ac:dyDescent="0.3">
      <c r="D11" t="s">
        <v>24</v>
      </c>
    </row>
    <row r="12" spans="4:6" x14ac:dyDescent="0.3">
      <c r="D12" t="s">
        <v>1</v>
      </c>
    </row>
    <row r="14" spans="4:6" x14ac:dyDescent="0.3">
      <c r="D14" s="9">
        <v>27</v>
      </c>
    </row>
    <row r="15" spans="4:6" x14ac:dyDescent="0.3">
      <c r="D15" s="9">
        <v>-61.5</v>
      </c>
    </row>
    <row r="16" spans="4:6" x14ac:dyDescent="0.3">
      <c r="D16" s="9">
        <v>-21.5</v>
      </c>
    </row>
    <row r="19" spans="2:12" x14ac:dyDescent="0.3">
      <c r="D19" s="2">
        <v>10</v>
      </c>
      <c r="E19" s="3">
        <v>2</v>
      </c>
      <c r="F19" s="3">
        <v>-1</v>
      </c>
    </row>
    <row r="20" spans="2:12" x14ac:dyDescent="0.3">
      <c r="B20" t="s">
        <v>7</v>
      </c>
      <c r="D20" s="4">
        <v>-3</v>
      </c>
      <c r="E20" s="3">
        <v>-6</v>
      </c>
      <c r="F20" s="3">
        <v>2</v>
      </c>
      <c r="J20" s="7" t="s">
        <v>9</v>
      </c>
    </row>
    <row r="21" spans="2:12" x14ac:dyDescent="0.3">
      <c r="D21" s="3">
        <v>1</v>
      </c>
      <c r="E21" s="3">
        <v>1</v>
      </c>
      <c r="F21" s="3">
        <v>5</v>
      </c>
    </row>
    <row r="24" spans="2:12" x14ac:dyDescent="0.3">
      <c r="B24" t="s">
        <v>8</v>
      </c>
      <c r="D24" s="13">
        <f>D19</f>
        <v>10</v>
      </c>
      <c r="E24" s="6">
        <f>E19</f>
        <v>2</v>
      </c>
      <c r="F24" s="6">
        <f>F19</f>
        <v>-1</v>
      </c>
      <c r="I24" s="5" t="s">
        <v>13</v>
      </c>
      <c r="J24" s="6">
        <v>1</v>
      </c>
      <c r="K24" s="6">
        <v>0</v>
      </c>
      <c r="L24" s="6">
        <v>0</v>
      </c>
    </row>
    <row r="25" spans="2:12" x14ac:dyDescent="0.3">
      <c r="D25" s="6">
        <f>D20 + (-J25)*D19</f>
        <v>0</v>
      </c>
      <c r="E25" s="6">
        <f>E20 + (-J25)*E19</f>
        <v>-5.4</v>
      </c>
      <c r="F25" s="6">
        <f>F20 + (-J25)*F19</f>
        <v>1.7</v>
      </c>
      <c r="J25" s="6">
        <f>+D20/D19</f>
        <v>-0.3</v>
      </c>
      <c r="K25" s="6">
        <v>1</v>
      </c>
      <c r="L25" s="6">
        <v>0</v>
      </c>
    </row>
    <row r="26" spans="2:12" x14ac:dyDescent="0.3">
      <c r="D26" s="6">
        <f>D21 + (-J26)*D19</f>
        <v>0</v>
      </c>
      <c r="E26" s="6">
        <f>E21 + (-J26)*E19</f>
        <v>0.8</v>
      </c>
      <c r="F26" s="6">
        <f>F21 + (-J26)*F19</f>
        <v>5.0999999999999996</v>
      </c>
      <c r="J26" s="6">
        <f>+D21/D19</f>
        <v>0.1</v>
      </c>
      <c r="K26" s="6">
        <f>E26/E25</f>
        <v>-0.14814814814814814</v>
      </c>
      <c r="L26" s="6">
        <v>1</v>
      </c>
    </row>
    <row r="28" spans="2:12" x14ac:dyDescent="0.3">
      <c r="J28" s="8">
        <v>1</v>
      </c>
      <c r="K28" s="8">
        <v>0</v>
      </c>
      <c r="L28" s="8">
        <v>0</v>
      </c>
    </row>
    <row r="29" spans="2:12" x14ac:dyDescent="0.3">
      <c r="J29" s="8" t="s">
        <v>10</v>
      </c>
      <c r="K29" s="8">
        <v>1</v>
      </c>
      <c r="L29" s="8">
        <v>0</v>
      </c>
    </row>
    <row r="30" spans="2:12" x14ac:dyDescent="0.3">
      <c r="D30" s="13">
        <f>D19</f>
        <v>10</v>
      </c>
      <c r="E30" s="13">
        <f t="shared" ref="E30:F30" si="0">E19</f>
        <v>2</v>
      </c>
      <c r="F30" s="13">
        <f t="shared" si="0"/>
        <v>-1</v>
      </c>
      <c r="J30" s="8" t="s">
        <v>11</v>
      </c>
      <c r="K30" s="8" t="s">
        <v>12</v>
      </c>
      <c r="L30" s="8">
        <v>1</v>
      </c>
    </row>
    <row r="31" spans="2:12" x14ac:dyDescent="0.3">
      <c r="B31" t="s">
        <v>14</v>
      </c>
      <c r="D31" s="6">
        <f>D25</f>
        <v>0</v>
      </c>
      <c r="E31" s="6">
        <f t="shared" ref="E31:F31" si="1">E25</f>
        <v>-5.4</v>
      </c>
      <c r="F31" s="6">
        <f t="shared" si="1"/>
        <v>1.7</v>
      </c>
    </row>
    <row r="32" spans="2:12" x14ac:dyDescent="0.3">
      <c r="D32" s="6">
        <f>D26 + (-K26)*D25</f>
        <v>0</v>
      </c>
      <c r="E32" s="6">
        <f>E26 + (-K26)*E25</f>
        <v>0</v>
      </c>
      <c r="F32" s="6">
        <f>F26 + (-K26)*F25</f>
        <v>5.3518518518518512</v>
      </c>
    </row>
    <row r="36" spans="2:11" x14ac:dyDescent="0.3">
      <c r="B36" t="s">
        <v>15</v>
      </c>
      <c r="D36" s="13">
        <f>D19</f>
        <v>10</v>
      </c>
      <c r="E36" s="13">
        <f t="shared" ref="E36:F36" si="2">E19</f>
        <v>2</v>
      </c>
      <c r="F36" s="13">
        <f t="shared" si="2"/>
        <v>-1</v>
      </c>
    </row>
    <row r="37" spans="2:11" x14ac:dyDescent="0.3">
      <c r="D37" s="6">
        <f>D25</f>
        <v>0</v>
      </c>
      <c r="E37" s="6">
        <f t="shared" ref="E37:F37" si="3">E25</f>
        <v>-5.4</v>
      </c>
      <c r="F37" s="6">
        <f t="shared" si="3"/>
        <v>1.7</v>
      </c>
    </row>
    <row r="38" spans="2:11" x14ac:dyDescent="0.3">
      <c r="D38" s="6">
        <f>D32</f>
        <v>0</v>
      </c>
      <c r="E38" s="6">
        <f t="shared" ref="E38:F38" si="4">E32</f>
        <v>0</v>
      </c>
      <c r="F38" s="6">
        <f t="shared" si="4"/>
        <v>5.3518518518518512</v>
      </c>
    </row>
    <row r="42" spans="2:11" x14ac:dyDescent="0.3">
      <c r="B42" t="s">
        <v>16</v>
      </c>
      <c r="D42" s="6">
        <f t="array" ref="D42:F44">+MMULT(J24:L26,D36:F38)</f>
        <v>10</v>
      </c>
      <c r="E42" s="6">
        <v>2</v>
      </c>
      <c r="F42" s="6">
        <v>-1</v>
      </c>
    </row>
    <row r="43" spans="2:11" x14ac:dyDescent="0.3">
      <c r="D43" s="6">
        <v>-3</v>
      </c>
      <c r="E43" s="6">
        <v>-6</v>
      </c>
      <c r="F43" s="6">
        <v>2</v>
      </c>
    </row>
    <row r="44" spans="2:11" x14ac:dyDescent="0.3">
      <c r="D44" s="6">
        <v>1</v>
      </c>
      <c r="E44" s="6">
        <v>1</v>
      </c>
      <c r="F44" s="6">
        <v>4.9999999999999991</v>
      </c>
    </row>
    <row r="47" spans="2:11" x14ac:dyDescent="0.3">
      <c r="B47" s="6"/>
      <c r="I47">
        <f t="array" ref="I47:K49">+MINVERSE(J24:L26)</f>
        <v>1</v>
      </c>
      <c r="J47">
        <v>0</v>
      </c>
      <c r="K47">
        <v>0</v>
      </c>
    </row>
    <row r="48" spans="2:11" x14ac:dyDescent="0.3">
      <c r="B48" s="6" t="s">
        <v>17</v>
      </c>
      <c r="D48">
        <f t="array" ref="D48:D50">+MMULT(I47:K49,D14:D16)</f>
        <v>27</v>
      </c>
      <c r="F48" t="s">
        <v>21</v>
      </c>
      <c r="H48" t="s">
        <v>18</v>
      </c>
      <c r="I48">
        <v>0.3</v>
      </c>
      <c r="J48">
        <v>1</v>
      </c>
      <c r="K48">
        <v>0</v>
      </c>
    </row>
    <row r="49" spans="2:11" x14ac:dyDescent="0.3">
      <c r="B49" s="6"/>
      <c r="D49">
        <v>-53.4</v>
      </c>
      <c r="I49">
        <v>-5.5555555555555566E-2</v>
      </c>
      <c r="J49">
        <v>0.14814814814814814</v>
      </c>
      <c r="K49">
        <v>1</v>
      </c>
    </row>
    <row r="50" spans="2:11" x14ac:dyDescent="0.3">
      <c r="B50" s="6"/>
      <c r="D50">
        <v>-32.111111111111114</v>
      </c>
    </row>
    <row r="51" spans="2:11" x14ac:dyDescent="0.3">
      <c r="B51" s="6"/>
    </row>
    <row r="52" spans="2:11" x14ac:dyDescent="0.3">
      <c r="B52" s="6" t="s">
        <v>20</v>
      </c>
      <c r="D52" s="6">
        <f t="array" ref="D52:D54">+MMULT(I52:K54,D48:D50)</f>
        <v>0.50000000000000022</v>
      </c>
      <c r="H52" t="s">
        <v>19</v>
      </c>
      <c r="I52">
        <f t="array" ref="I52:K54">+MINVERSE(D36:F38)</f>
        <v>0.1</v>
      </c>
      <c r="J52">
        <v>3.7037037037037035E-2</v>
      </c>
      <c r="K52">
        <v>6.9204152249134968E-3</v>
      </c>
    </row>
    <row r="53" spans="2:11" x14ac:dyDescent="0.3">
      <c r="B53" s="6"/>
      <c r="D53" s="6">
        <v>7.9999999999999982</v>
      </c>
      <c r="F53" t="s">
        <v>22</v>
      </c>
      <c r="I53">
        <v>0</v>
      </c>
      <c r="J53">
        <v>-0.18518518518518517</v>
      </c>
      <c r="K53">
        <v>5.8823529411764712E-2</v>
      </c>
    </row>
    <row r="54" spans="2:11" x14ac:dyDescent="0.3">
      <c r="B54" s="6"/>
      <c r="D54" s="6">
        <v>-6.0000000000000018</v>
      </c>
      <c r="I54">
        <v>0</v>
      </c>
      <c r="J54">
        <v>0</v>
      </c>
      <c r="K54">
        <v>0.18685121107266439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lu (2)</vt:lpstr>
      <vt:lpstr>Hoja2 (2)</vt:lpstr>
      <vt:lpstr>lu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Wilder Quelca Quispe</cp:lastModifiedBy>
  <dcterms:created xsi:type="dcterms:W3CDTF">2022-09-20T14:34:01Z</dcterms:created>
  <dcterms:modified xsi:type="dcterms:W3CDTF">2026-03-26T16:35:59Z</dcterms:modified>
</cp:coreProperties>
</file>